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y\Desktop\MURDOCH ISEA\BRG-ISEA-labs\Lab\Lab2 tco\"/>
    </mc:Choice>
  </mc:AlternateContent>
  <xr:revisionPtr revIDLastSave="0" documentId="13_ncr:1_{1276DD94-1A5A-4C94-87D5-0FEBC2F2107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B15" i="1"/>
  <c r="F19" i="1" s="1"/>
  <c r="G14" i="1"/>
  <c r="B21" i="1" s="1"/>
  <c r="C21" i="1" s="1"/>
  <c r="F14" i="1"/>
  <c r="B20" i="1" s="1"/>
  <c r="C20" i="1" s="1"/>
  <c r="C14" i="1"/>
  <c r="G13" i="1"/>
  <c r="F13" i="1"/>
  <c r="C13" i="1"/>
  <c r="C12" i="1"/>
  <c r="C11" i="1"/>
  <c r="C10" i="1"/>
  <c r="C9" i="1"/>
  <c r="C16" i="1" s="1"/>
  <c r="B19" i="1" s="1"/>
  <c r="C19" i="1" s="1"/>
  <c r="F23" i="1" s="1"/>
  <c r="F21" i="1" l="1"/>
</calcChain>
</file>

<file path=xl/sharedStrings.xml><?xml version="1.0" encoding="utf-8"?>
<sst xmlns="http://schemas.openxmlformats.org/spreadsheetml/2006/main" count="40" uniqueCount="34">
  <si>
    <t>Item</t>
  </si>
  <si>
    <t>Value</t>
  </si>
  <si>
    <t>Evaluation period (years)</t>
  </si>
  <si>
    <t>Cloud A base monthly</t>
  </si>
  <si>
    <t>Cloud B base monthly</t>
  </si>
  <si>
    <t>On-Prem Costs</t>
  </si>
  <si>
    <t>Cloud Providers</t>
  </si>
  <si>
    <t>Monthly ($)</t>
  </si>
  <si>
    <t>Yearly ($)</t>
  </si>
  <si>
    <t>Cloud A ($/mo)</t>
  </si>
  <si>
    <t>Cloud B ($/mo)</t>
  </si>
  <si>
    <t>Licensing</t>
  </si>
  <si>
    <t>Storage</t>
  </si>
  <si>
    <t>Data transfer</t>
  </si>
  <si>
    <t>IT staff (portion)</t>
  </si>
  <si>
    <t>Support</t>
  </si>
  <si>
    <t>Network &amp; backup</t>
  </si>
  <si>
    <t>Total monthly</t>
  </si>
  <si>
    <t>Other costs</t>
  </si>
  <si>
    <t>Total yearly</t>
  </si>
  <si>
    <t>Option</t>
  </si>
  <si>
    <t>3-Year ($)</t>
  </si>
  <si>
    <t>Label</t>
  </si>
  <si>
    <t>On-prem</t>
  </si>
  <si>
    <t>On-prem monthly</t>
  </si>
  <si>
    <t>Cloud A</t>
  </si>
  <si>
    <t>Cloud A monthly</t>
  </si>
  <si>
    <t>Cloud B</t>
  </si>
  <si>
    <t>Break-even (months)</t>
  </si>
  <si>
    <t>ROI Cloud A vs On-prem (3y)</t>
  </si>
  <si>
    <t>Installed hardware (one-time)</t>
  </si>
  <si>
    <t>Hardware payment</t>
  </si>
  <si>
    <t>Utlities</t>
  </si>
  <si>
    <t>VM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</si>
</sst>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H23" sqref="H23"/>
    </sheetView>
  </sheetViews>
  <sheetFormatPr defaultRowHeight="14.4" x14ac:dyDescent="0.3"/>
  <cols>
    <col min="1" max="1" width="25.88671875" bestFit="1" customWidth="1"/>
    <col min="5" max="5" width="24.21875" bestFit="1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30</v>
      </c>
      <c r="B2">
        <v>10000</v>
      </c>
    </row>
    <row r="3" spans="1:7" x14ac:dyDescent="0.3">
      <c r="A3" t="s">
        <v>2</v>
      </c>
      <c r="B3">
        <v>3</v>
      </c>
    </row>
    <row r="4" spans="1:7" x14ac:dyDescent="0.3">
      <c r="A4" t="s">
        <v>3</v>
      </c>
      <c r="B4">
        <v>350</v>
      </c>
    </row>
    <row r="5" spans="1:7" x14ac:dyDescent="0.3">
      <c r="A5" t="s">
        <v>4</v>
      </c>
      <c r="B5">
        <v>320</v>
      </c>
    </row>
    <row r="7" spans="1:7" x14ac:dyDescent="0.3">
      <c r="A7" t="s">
        <v>5</v>
      </c>
      <c r="E7" t="s">
        <v>6</v>
      </c>
    </row>
    <row r="8" spans="1:7" x14ac:dyDescent="0.3">
      <c r="A8" t="s">
        <v>0</v>
      </c>
      <c r="B8" t="s">
        <v>7</v>
      </c>
      <c r="C8" t="s">
        <v>8</v>
      </c>
      <c r="E8" t="s">
        <v>0</v>
      </c>
      <c r="F8" t="s">
        <v>9</v>
      </c>
      <c r="G8" t="s">
        <v>10</v>
      </c>
    </row>
    <row r="9" spans="1:7" x14ac:dyDescent="0.3">
      <c r="A9" t="s">
        <v>31</v>
      </c>
      <c r="B9">
        <v>300</v>
      </c>
      <c r="C9">
        <f t="shared" ref="C9:C14" si="0">B9*12</f>
        <v>3600</v>
      </c>
      <c r="E9" t="s">
        <v>33</v>
      </c>
      <c r="F9">
        <v>250</v>
      </c>
      <c r="G9">
        <v>230</v>
      </c>
    </row>
    <row r="10" spans="1:7" x14ac:dyDescent="0.3">
      <c r="A10" t="s">
        <v>11</v>
      </c>
      <c r="B10">
        <v>50</v>
      </c>
      <c r="C10">
        <f t="shared" si="0"/>
        <v>600</v>
      </c>
      <c r="E10" t="s">
        <v>12</v>
      </c>
      <c r="F10">
        <v>50</v>
      </c>
      <c r="G10">
        <v>50</v>
      </c>
    </row>
    <row r="11" spans="1:7" x14ac:dyDescent="0.3">
      <c r="A11" t="s">
        <v>32</v>
      </c>
      <c r="B11">
        <v>40</v>
      </c>
      <c r="C11">
        <f t="shared" si="0"/>
        <v>480</v>
      </c>
      <c r="E11" t="s">
        <v>13</v>
      </c>
      <c r="F11">
        <v>20</v>
      </c>
      <c r="G11">
        <v>20</v>
      </c>
    </row>
    <row r="12" spans="1:7" x14ac:dyDescent="0.3">
      <c r="A12" t="s">
        <v>14</v>
      </c>
      <c r="B12">
        <v>2000</v>
      </c>
      <c r="C12">
        <f t="shared" si="0"/>
        <v>24000</v>
      </c>
      <c r="E12" t="s">
        <v>15</v>
      </c>
      <c r="F12">
        <v>15</v>
      </c>
      <c r="G12">
        <v>15</v>
      </c>
    </row>
    <row r="13" spans="1:7" x14ac:dyDescent="0.3">
      <c r="A13" t="s">
        <v>16</v>
      </c>
      <c r="B13">
        <v>150</v>
      </c>
      <c r="C13">
        <f t="shared" si="0"/>
        <v>1800</v>
      </c>
      <c r="E13" t="s">
        <v>17</v>
      </c>
      <c r="F13">
        <f>SUM(F9:F12)</f>
        <v>335</v>
      </c>
      <c r="G13">
        <f>SUM(G9:G12)</f>
        <v>315</v>
      </c>
    </row>
    <row r="14" spans="1:7" x14ac:dyDescent="0.3">
      <c r="A14" t="s">
        <v>18</v>
      </c>
      <c r="B14">
        <v>200</v>
      </c>
      <c r="C14">
        <f t="shared" si="0"/>
        <v>2400</v>
      </c>
      <c r="E14" t="s">
        <v>19</v>
      </c>
      <c r="F14">
        <f>F13*12</f>
        <v>4020</v>
      </c>
      <c r="G14">
        <f>G13*12</f>
        <v>3780</v>
      </c>
    </row>
    <row r="15" spans="1:7" x14ac:dyDescent="0.3">
      <c r="A15" t="s">
        <v>17</v>
      </c>
      <c r="B15">
        <f>SUM(B9:B14)</f>
        <v>2740</v>
      </c>
    </row>
    <row r="16" spans="1:7" x14ac:dyDescent="0.3">
      <c r="A16" t="s">
        <v>19</v>
      </c>
      <c r="C16">
        <f>SUM(C9:C14)</f>
        <v>32880</v>
      </c>
    </row>
    <row r="18" spans="1:6" x14ac:dyDescent="0.3">
      <c r="A18" t="s">
        <v>20</v>
      </c>
      <c r="B18" t="s">
        <v>8</v>
      </c>
      <c r="C18" t="s">
        <v>21</v>
      </c>
      <c r="E18" t="s">
        <v>22</v>
      </c>
      <c r="F18" t="s">
        <v>1</v>
      </c>
    </row>
    <row r="19" spans="1:6" x14ac:dyDescent="0.3">
      <c r="A19" t="s">
        <v>23</v>
      </c>
      <c r="B19">
        <f>C16</f>
        <v>32880</v>
      </c>
      <c r="C19">
        <f>B19*3</f>
        <v>98640</v>
      </c>
      <c r="E19" t="s">
        <v>24</v>
      </c>
      <c r="F19">
        <f>B15</f>
        <v>2740</v>
      </c>
    </row>
    <row r="20" spans="1:6" x14ac:dyDescent="0.3">
      <c r="A20" t="s">
        <v>25</v>
      </c>
      <c r="B20">
        <f>F14</f>
        <v>4020</v>
      </c>
      <c r="C20">
        <f>B20*3</f>
        <v>12060</v>
      </c>
      <c r="E20" t="s">
        <v>26</v>
      </c>
      <c r="F20">
        <f>F13</f>
        <v>335</v>
      </c>
    </row>
    <row r="21" spans="1:6" x14ac:dyDescent="0.3">
      <c r="A21" t="s">
        <v>27</v>
      </c>
      <c r="B21">
        <f>G14</f>
        <v>3780</v>
      </c>
      <c r="C21">
        <f>B21*3</f>
        <v>11340</v>
      </c>
      <c r="E21" t="s">
        <v>28</v>
      </c>
      <c r="F21">
        <f>B2/(F20-F19)</f>
        <v>-4.1580041580041582</v>
      </c>
    </row>
    <row r="23" spans="1:6" x14ac:dyDescent="0.3">
      <c r="E23" t="s">
        <v>29</v>
      </c>
      <c r="F23">
        <f>(C19-C20)/C20</f>
        <v>7.1791044776119399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 yangjie</cp:lastModifiedBy>
  <dcterms:created xsi:type="dcterms:W3CDTF">2025-11-19T13:06:24Z</dcterms:created>
  <dcterms:modified xsi:type="dcterms:W3CDTF">2025-11-19T15:03:31Z</dcterms:modified>
</cp:coreProperties>
</file>